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\Documents\Github\Data_Wrangling\Laboratorio 8\"/>
    </mc:Choice>
  </mc:AlternateContent>
  <xr:revisionPtr revIDLastSave="0" documentId="13_ncr:1_{3F00ABD3-F9D5-49BB-820E-6204804425F6}" xr6:coauthVersionLast="47" xr6:coauthVersionMax="47" xr10:uidLastSave="{00000000-0000-0000-0000-000000000000}"/>
  <bookViews>
    <workbookView xWindow="-108" yWindow="-108" windowWidth="23256" windowHeight="12456" xr2:uid="{7692D699-3F13-4705-A38F-72DFF0ADD0B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E56" i="1"/>
  <c r="C56" i="1"/>
  <c r="F55" i="1"/>
  <c r="D19" i="3"/>
  <c r="D20" i="3"/>
  <c r="D21" i="3"/>
  <c r="D22" i="3"/>
  <c r="D23" i="3"/>
  <c r="D24" i="3"/>
  <c r="D25" i="3"/>
  <c r="D26" i="3"/>
  <c r="D27" i="3"/>
  <c r="D18" i="3"/>
  <c r="F18" i="3"/>
  <c r="J8" i="2"/>
  <c r="J9" i="2"/>
  <c r="J10" i="2"/>
  <c r="J11" i="2"/>
  <c r="J12" i="2"/>
  <c r="J13" i="2"/>
  <c r="J14" i="2"/>
  <c r="J15" i="2"/>
  <c r="J16" i="2"/>
  <c r="J7" i="2"/>
  <c r="J13" i="1"/>
  <c r="E21" i="2"/>
  <c r="E22" i="2"/>
  <c r="E23" i="2"/>
  <c r="E24" i="2"/>
  <c r="E25" i="2"/>
  <c r="E26" i="2"/>
  <c r="E27" i="2"/>
  <c r="E28" i="2"/>
  <c r="E29" i="2"/>
  <c r="G20" i="2"/>
  <c r="E20" i="2" s="1"/>
  <c r="J14" i="1"/>
  <c r="J15" i="1"/>
  <c r="J16" i="1"/>
  <c r="J17" i="1"/>
  <c r="I19" i="1"/>
</calcChain>
</file>

<file path=xl/sharedStrings.xml><?xml version="1.0" encoding="utf-8"?>
<sst xmlns="http://schemas.openxmlformats.org/spreadsheetml/2006/main" count="87" uniqueCount="39">
  <si>
    <t>Distancia</t>
  </si>
  <si>
    <t>Utilidad_Promedio</t>
  </si>
  <si>
    <t>Costo_Promedio</t>
  </si>
  <si>
    <t>Eficiencia</t>
  </si>
  <si>
    <t>Cantidad_Servicios</t>
  </si>
  <si>
    <t>30-45</t>
  </si>
  <si>
    <t>45-75</t>
  </si>
  <si>
    <t>75-120</t>
  </si>
  <si>
    <t>120+</t>
  </si>
  <si>
    <t>Porcentaje</t>
  </si>
  <si>
    <t>5-30</t>
  </si>
  <si>
    <t>Cantidad Servicios</t>
  </si>
  <si>
    <t xml:space="preserve"> </t>
  </si>
  <si>
    <t>Cod</t>
  </si>
  <si>
    <t>Servicios_Negativos</t>
  </si>
  <si>
    <t>Porcentaje_Negativos</t>
  </si>
  <si>
    <t>Margen_Promedio</t>
  </si>
  <si>
    <t>OTRO</t>
  </si>
  <si>
    <t>REVISION</t>
  </si>
  <si>
    <t>VISITA</t>
  </si>
  <si>
    <t>CAMBIO CORRECTIVO</t>
  </si>
  <si>
    <t>CAMBIO FUSIBLE</t>
  </si>
  <si>
    <t>CAMBIO PUENTES</t>
  </si>
  <si>
    <t>REVISION TRANSFORMADOR</t>
  </si>
  <si>
    <t>VERIFICACION INDICADORES</t>
  </si>
  <si>
    <t>VERIFICACION MEDIDORES</t>
  </si>
  <si>
    <t>VISITA POR CORRECCION</t>
  </si>
  <si>
    <t>Total Servicios</t>
  </si>
  <si>
    <t>Margen promedio</t>
  </si>
  <si>
    <t>Servicios_Perdida</t>
  </si>
  <si>
    <t>Porcentaje_Perdida</t>
  </si>
  <si>
    <t>Costo Promedio</t>
  </si>
  <si>
    <t>Utilidad Promedio</t>
  </si>
  <si>
    <t>Costo Camion</t>
  </si>
  <si>
    <t>Costo Pickup</t>
  </si>
  <si>
    <t>Costo Moto</t>
  </si>
  <si>
    <t>Camion</t>
  </si>
  <si>
    <t>Pickup</t>
  </si>
  <si>
    <t>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</si>
</sst>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9" fontId="0" fillId="0" borderId="0" xfId="1" applyFont="1"/>
    <xf numFmtId="3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9" fontId="0" fillId="0" borderId="0" xfId="1" applyFont="1" applyAlignment="1">
      <alignment vertical="center" wrapText="1"/>
    </xf>
    <xf numFmtId="3" fontId="0" fillId="0" borderId="0" xfId="0" applyNumberFormat="1"/>
    <xf numFmtId="9" fontId="0" fillId="0" borderId="0" xfId="0" applyNumberFormat="1"/>
    <xf numFmtId="10" fontId="0" fillId="0" borderId="0" xfId="1" applyNumberFormat="1" applyFont="1"/>
    <xf numFmtId="2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Sheet1!$I$12</c:f>
              <c:strCache>
                <c:ptCount val="1"/>
                <c:pt idx="0">
                  <c:v>Cantidad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933-4F8D-8F12-2B6E4CC978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Sheet1!$H$13:$H$17</c:f>
              <c:strCache>
                <c:ptCount val="5"/>
                <c:pt idx="0">
                  <c:v>5-30</c:v>
                </c:pt>
                <c:pt idx="1">
                  <c:v>30-45</c:v>
                </c:pt>
                <c:pt idx="2">
                  <c:v>45-75</c:v>
                </c:pt>
                <c:pt idx="3">
                  <c:v>75-120</c:v>
                </c:pt>
                <c:pt idx="4">
                  <c:v>120+</c:v>
                </c:pt>
              </c:strCache>
            </c:strRef>
          </c:cat>
          <c:val>
            <c:numRef>
              <c:f>Sheet1!$I$13:$I$17</c:f>
              <c:numCache>
                <c:formatCode>#,##0</c:formatCode>
                <c:ptCount val="5"/>
                <c:pt idx="0">
                  <c:v>39559</c:v>
                </c:pt>
                <c:pt idx="1">
                  <c:v>52745</c:v>
                </c:pt>
                <c:pt idx="2">
                  <c:v>34284</c:v>
                </c:pt>
                <c:pt idx="3">
                  <c:v>110764</c:v>
                </c:pt>
                <c:pt idx="4">
                  <c:v>26373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3-4F8D-8F12-2B6E4CC97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4536831"/>
        <c:axId val="224517631"/>
      </c:barChart>
      <c:catAx>
        <c:axId val="2245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17631"/>
        <c:crosses val="autoZero"/>
        <c:auto val="1"/>
        <c:lblAlgn val="ctr"/>
        <c:lblOffset val="100"/>
        <c:noMultiLvlLbl val="0"/>
      </c:catAx>
      <c:valAx>
        <c:axId val="2245176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245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Sheet1!$J$12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58-417C-9C91-61BD349B4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Sheet1!$H$13:$H$17</c:f>
              <c:strCache>
                <c:ptCount val="5"/>
                <c:pt idx="0">
                  <c:v>5-30</c:v>
                </c:pt>
                <c:pt idx="1">
                  <c:v>30-45</c:v>
                </c:pt>
                <c:pt idx="2">
                  <c:v>45-75</c:v>
                </c:pt>
                <c:pt idx="3">
                  <c:v>75-120</c:v>
                </c:pt>
                <c:pt idx="4">
                  <c:v>120+</c:v>
                </c:pt>
              </c:strCache>
            </c:strRef>
          </c:cat>
          <c:val>
            <c:numRef>
              <c:f>Sheet1!$J$13:$J$17</c:f>
              <c:numCache>
                <c:formatCode>0%</c:formatCode>
                <c:ptCount val="5"/>
                <c:pt idx="0">
                  <c:v>0.15000094795715233</c:v>
                </c:pt>
                <c:pt idx="1">
                  <c:v>0.2</c:v>
                </c:pt>
                <c:pt idx="2">
                  <c:v>0.12999905204284767</c:v>
                </c:pt>
                <c:pt idx="3">
                  <c:v>0.41999810408569532</c:v>
                </c:pt>
                <c:pt idx="4">
                  <c:v>0.10000189591430468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8-417C-9C91-61BD349B4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4536831"/>
        <c:axId val="224517631"/>
      </c:barChart>
      <c:catAx>
        <c:axId val="2245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17631"/>
        <c:crosses val="autoZero"/>
        <c:auto val="1"/>
        <c:lblAlgn val="ctr"/>
        <c:lblOffset val="100"/>
        <c:noMultiLvlLbl val="0"/>
      </c:catAx>
      <c:valAx>
        <c:axId val="2245176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245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Sheet1!$K$12</c:f>
              <c:strCache>
                <c:ptCount val="1"/>
                <c:pt idx="0">
                  <c:v>Eficiencia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D-4681-9737-F73B073285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D-4681-9737-F73B073285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Sheet1!$H$13:$H$17</c:f>
              <c:strCache>
                <c:ptCount val="5"/>
                <c:pt idx="0">
                  <c:v>5-30</c:v>
                </c:pt>
                <c:pt idx="1">
                  <c:v>30-45</c:v>
                </c:pt>
                <c:pt idx="2">
                  <c:v>45-75</c:v>
                </c:pt>
                <c:pt idx="3">
                  <c:v>75-120</c:v>
                </c:pt>
                <c:pt idx="4">
                  <c:v>120+</c:v>
                </c:pt>
              </c:strCache>
            </c:strRef>
          </c:cat>
          <c:val>
            <c:numRef>
              <c:f>Sheet1!$K$13:$K$17</c:f>
              <c:numCache>
                <c:formatCode>0%</c:formatCode>
                <c:ptCount val="5"/>
                <c:pt idx="0">
                  <c:v>0.74241380000000001</c:v>
                </c:pt>
                <c:pt idx="1">
                  <c:v>0.45404349999999999</c:v>
                </c:pt>
                <c:pt idx="2">
                  <c:v>0.35982940000000002</c:v>
                </c:pt>
                <c:pt idx="3">
                  <c:v>0.25811079999999997</c:v>
                </c:pt>
                <c:pt idx="4">
                  <c:v>0.16416900000000001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D-4681-9737-F73B073285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4536831"/>
        <c:axId val="224517631"/>
      </c:barChart>
      <c:catAx>
        <c:axId val="2245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17631"/>
        <c:crosses val="autoZero"/>
        <c:auto val="1"/>
        <c:lblAlgn val="ctr"/>
        <c:lblOffset val="100"/>
        <c:noMultiLvlLbl val="0"/>
      </c:catAx>
      <c:valAx>
        <c:axId val="2245176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245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de vehiculos (Q)</a:t>
            </a:r>
          </a:p>
        </c:rich>
      </c:tx>
      <c:layout>
        <c:manualLayout>
          <c:xMode val="edge"/>
          <c:yMode val="edge"/>
          <c:x val="0.3396456692913385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C6-4E01-BD86-3DE5349B4D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Sheet2!$F$49:$H$49</c:f>
              <c:strCache>
                <c:ptCount val="3"/>
                <c:pt idx="0">
                  <c:v>Costo Camion</c:v>
                </c:pt>
                <c:pt idx="1">
                  <c:v>Costo Pickup</c:v>
                </c:pt>
                <c:pt idx="2">
                  <c:v>Costo Moto</c:v>
                </c:pt>
              </c:strCache>
            </c:strRef>
          </c:cat>
          <c:val>
            <c:numRef>
              <c:f>Sheet2!$F$50:$H$50</c:f>
              <c:numCache>
                <c:formatCode>#,##0</c:formatCode>
                <c:ptCount val="3"/>
                <c:pt idx="0">
                  <c:v>8658363</c:v>
                </c:pt>
                <c:pt idx="1">
                  <c:v>19121908</c:v>
                </c:pt>
                <c:pt idx="2" formatCode="#,##0.00">
                  <c:v>393747.9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6-4E01-BD86-3DE5349B4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0664607"/>
        <c:axId val="480662687"/>
      </c:barChart>
      <c:catAx>
        <c:axId val="4806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62687"/>
        <c:crosses val="autoZero"/>
        <c:auto val="1"/>
        <c:lblAlgn val="ctr"/>
        <c:lblOffset val="100"/>
        <c:noMultiLvlLbl val="0"/>
      </c:catAx>
      <c:valAx>
        <c:axId val="4806626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066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Sheet1!$L$12</c:f>
              <c:strCache>
                <c:ptCount val="1"/>
                <c:pt idx="0">
                  <c:v>Costo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B3-43E1-BBC9-354E290236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Sheet1!$H$13:$H$17</c:f>
              <c:strCache>
                <c:ptCount val="5"/>
                <c:pt idx="0">
                  <c:v>5-30</c:v>
                </c:pt>
                <c:pt idx="1">
                  <c:v>30-45</c:v>
                </c:pt>
                <c:pt idx="2">
                  <c:v>45-75</c:v>
                </c:pt>
                <c:pt idx="3">
                  <c:v>75-120</c:v>
                </c:pt>
                <c:pt idx="4">
                  <c:v>120+</c:v>
                </c:pt>
              </c:strCache>
            </c:strRef>
          </c:cat>
          <c:val>
            <c:numRef>
              <c:f>Sheet1!$L$13:$L$17</c:f>
              <c:numCache>
                <c:formatCode>General</c:formatCode>
                <c:ptCount val="5"/>
                <c:pt idx="0">
                  <c:v>41.221350000000001</c:v>
                </c:pt>
                <c:pt idx="1">
                  <c:v>68.556489999999997</c:v>
                </c:pt>
                <c:pt idx="2">
                  <c:v>87.236699999999999</c:v>
                </c:pt>
                <c:pt idx="3">
                  <c:v>126.13411000000001</c:v>
                </c:pt>
                <c:pt idx="4">
                  <c:v>226.19307000000001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3-43E1-BBC9-354E290236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4536831"/>
        <c:axId val="224517631"/>
      </c:barChart>
      <c:catAx>
        <c:axId val="2245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17631"/>
        <c:crosses val="autoZero"/>
        <c:auto val="1"/>
        <c:lblAlgn val="ctr"/>
        <c:lblOffset val="100"/>
        <c:noMultiLvlLbl val="0"/>
      </c:catAx>
      <c:valAx>
        <c:axId val="2245176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45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Costo de vehiculos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79-493A-89DA-12E1D09E92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Sheet1!$C$54:$E$54</c:f>
              <c:strCache>
                <c:ptCount val="3"/>
                <c:pt idx="0">
                  <c:v>Costo Camion</c:v>
                </c:pt>
                <c:pt idx="1">
                  <c:v>Costo Pickup</c:v>
                </c:pt>
                <c:pt idx="2">
                  <c:v>Costo Moto</c:v>
                </c:pt>
              </c:strCache>
            </c:strRef>
          </c:cat>
          <c:val>
            <c:numRef>
              <c:f>Sheet1!$C$56:$E$56</c:f>
              <c:numCache>
                <c:formatCode>0.00%</c:formatCode>
                <c:ptCount val="3"/>
                <c:pt idx="0">
                  <c:v>0.30731728514599671</c:v>
                </c:pt>
                <c:pt idx="1">
                  <c:v>0.67870714745633964</c:v>
                </c:pt>
                <c:pt idx="2">
                  <c:v>1.3975567397663669E-2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9-493A-89DA-12E1D09E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463487"/>
        <c:axId val="412464447"/>
      </c:barChart>
      <c:catAx>
        <c:axId val="41246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64447"/>
        <c:crosses val="autoZero"/>
        <c:auto val="1"/>
        <c:lblAlgn val="ctr"/>
        <c:lblOffset val="100"/>
        <c:noMultiLvlLbl val="0"/>
      </c:catAx>
      <c:valAx>
        <c:axId val="4124644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124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641-45C8-B3D8-50081B3F6D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1-45C8-B3D8-50081B3F6D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1-45C8-B3D8-50081B3F6DB6}"/>
              </c:ext>
            </c:extLst>
          </c:dPt>
          <c:dLbls>
            <c:dLbl>
              <c:idx val="0"/>
              <c:layout>
                <c:manualLayout>
                  <c:x val="8.0527814674516113E-2"/>
                  <c:y val="-8.7122921668802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41-45C8-B3D8-50081B3F6DB6}"/>
                </c:ext>
              </c:extLst>
            </c:dLbl>
            <c:dLbl>
              <c:idx val="1"/>
              <c:layout>
                <c:manualLayout>
                  <c:x val="-9.9965563044226893E-2"/>
                  <c:y val="7.7952087808928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41-45C8-B3D8-50081B3F6DB6}"/>
                </c:ext>
              </c:extLst>
            </c:dLbl>
            <c:dLbl>
              <c:idx val="2"/>
              <c:layout>
                <c:manualLayout>
                  <c:x val="-8.3304635870190095E-3"/>
                  <c:y val="-9.629375552867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41-45C8-B3D8-50081B3F6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Sheet1!$C$61:$E$61</c:f>
              <c:strCache>
                <c:ptCount val="3"/>
                <c:pt idx="0">
                  <c:v>Camion</c:v>
                </c:pt>
                <c:pt idx="1">
                  <c:v>Pickup</c:v>
                </c:pt>
                <c:pt idx="2">
                  <c:v>Moto</c:v>
                </c:pt>
              </c:strCache>
            </c:strRef>
          </c:cat>
          <c:val>
            <c:numRef>
              <c:f>Sheet1!$C$62:$E$62</c:f>
              <c:numCache>
                <c:formatCode>#,##0</c:formatCode>
                <c:ptCount val="3"/>
                <c:pt idx="0">
                  <c:v>62267</c:v>
                </c:pt>
                <c:pt idx="1">
                  <c:v>195733</c:v>
                </c:pt>
                <c:pt idx="2">
                  <c:v>5725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1-45C8-B3D8-50081B3F6D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Sheet2!$E$6</c:f>
              <c:strCache>
                <c:ptCount val="1"/>
                <c:pt idx="0">
                  <c:v>Total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A4-4CB4-9BF9-A95139803E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A4-4CB4-9BF9-A95139803E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4-4CB4-9BF9-A95139803E2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A4-4CB4-9BF9-A95139803E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Sheet2!$D$7:$D$16</c:f>
              <c:strCache>
                <c:ptCount val="10"/>
                <c:pt idx="0">
                  <c:v>CAMBIO CORRECTIVO</c:v>
                </c:pt>
                <c:pt idx="1">
                  <c:v>CAMBIO FUSIBLE</c:v>
                </c:pt>
                <c:pt idx="2">
                  <c:v>CAMBIO PUENTES</c:v>
                </c:pt>
                <c:pt idx="3">
                  <c:v>OTRO</c:v>
                </c:pt>
                <c:pt idx="4">
                  <c:v>REVISION</c:v>
                </c:pt>
                <c:pt idx="5">
                  <c:v>REVISION TRANSFORMADOR</c:v>
                </c:pt>
                <c:pt idx="6">
                  <c:v>VERIFICACION INDICADORES</c:v>
                </c:pt>
                <c:pt idx="7">
                  <c:v>VERIFICACION MEDIDORES</c:v>
                </c:pt>
                <c:pt idx="8">
                  <c:v>VISITA</c:v>
                </c:pt>
                <c:pt idx="9">
                  <c:v>VISITA POR CORRECCION</c:v>
                </c:pt>
              </c:strCache>
            </c:strRef>
          </c:cat>
          <c:val>
            <c:numRef>
              <c:f>Sheet2!$E$7:$E$16</c:f>
              <c:numCache>
                <c:formatCode>#,##0</c:formatCode>
                <c:ptCount val="10"/>
                <c:pt idx="0">
                  <c:v>35869</c:v>
                </c:pt>
                <c:pt idx="1">
                  <c:v>19144</c:v>
                </c:pt>
                <c:pt idx="2">
                  <c:v>1839</c:v>
                </c:pt>
                <c:pt idx="3">
                  <c:v>5871</c:v>
                </c:pt>
                <c:pt idx="4">
                  <c:v>90288</c:v>
                </c:pt>
                <c:pt idx="5">
                  <c:v>12532</c:v>
                </c:pt>
                <c:pt idx="6">
                  <c:v>31920</c:v>
                </c:pt>
                <c:pt idx="7">
                  <c:v>47393</c:v>
                </c:pt>
                <c:pt idx="8">
                  <c:v>2371</c:v>
                </c:pt>
                <c:pt idx="9">
                  <c:v>16498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4-4CB4-9BF9-A95139803E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24521471"/>
        <c:axId val="224532991"/>
      </c:barChart>
      <c:catAx>
        <c:axId val="22452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32991"/>
        <c:crosses val="autoZero"/>
        <c:auto val="1"/>
        <c:lblAlgn val="ctr"/>
        <c:lblOffset val="100"/>
        <c:noMultiLvlLbl val="0"/>
      </c:catAx>
      <c:valAx>
        <c:axId val="2245329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2452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Promedio (Q)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Sheet2!$H$6</c:f>
              <c:strCache>
                <c:ptCount val="1"/>
                <c:pt idx="0">
                  <c:v>Utilidad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DF-4C14-85EE-674E2B22829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DF-4C14-85EE-674E2B2282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Sheet2!$D$7:$D$16</c:f>
              <c:strCache>
                <c:ptCount val="10"/>
                <c:pt idx="0">
                  <c:v>CAMBIO CORRECTIVO</c:v>
                </c:pt>
                <c:pt idx="1">
                  <c:v>CAMBIO FUSIBLE</c:v>
                </c:pt>
                <c:pt idx="2">
                  <c:v>CAMBIO PUENTES</c:v>
                </c:pt>
                <c:pt idx="3">
                  <c:v>OTRO</c:v>
                </c:pt>
                <c:pt idx="4">
                  <c:v>REVISION</c:v>
                </c:pt>
                <c:pt idx="5">
                  <c:v>REVISION TRANSFORMADOR</c:v>
                </c:pt>
                <c:pt idx="6">
                  <c:v>VERIFICACION INDICADORES</c:v>
                </c:pt>
                <c:pt idx="7">
                  <c:v>VERIFICACION MEDIDORES</c:v>
                </c:pt>
                <c:pt idx="8">
                  <c:v>VISITA</c:v>
                </c:pt>
                <c:pt idx="9">
                  <c:v>VISITA POR CORRECCION</c:v>
                </c:pt>
              </c:strCache>
            </c:strRef>
          </c:cat>
          <c:val>
            <c:numRef>
              <c:f>Sheet2!$H$7:$H$16</c:f>
              <c:numCache>
                <c:formatCode>0.00</c:formatCode>
                <c:ptCount val="10"/>
                <c:pt idx="0">
                  <c:v>28.186150000000001</c:v>
                </c:pt>
                <c:pt idx="1">
                  <c:v>44.623750000000001</c:v>
                </c:pt>
                <c:pt idx="2">
                  <c:v>40.71452</c:v>
                </c:pt>
                <c:pt idx="3">
                  <c:v>44.157209999999999</c:v>
                </c:pt>
                <c:pt idx="4">
                  <c:v>29.373449999999998</c:v>
                </c:pt>
                <c:pt idx="5">
                  <c:v>35.33267</c:v>
                </c:pt>
                <c:pt idx="6">
                  <c:v>32.712440000000001</c:v>
                </c:pt>
                <c:pt idx="7">
                  <c:v>28.805119999999999</c:v>
                </c:pt>
                <c:pt idx="8">
                  <c:v>28.878530000000001</c:v>
                </c:pt>
                <c:pt idx="9">
                  <c:v>44.975029999999997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DF-4C14-85EE-674E2B2282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24521471"/>
        <c:axId val="224532991"/>
      </c:barChart>
      <c:catAx>
        <c:axId val="22452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32991"/>
        <c:crosses val="autoZero"/>
        <c:auto val="1"/>
        <c:lblAlgn val="ctr"/>
        <c:lblOffset val="100"/>
        <c:noMultiLvlLbl val="0"/>
      </c:catAx>
      <c:valAx>
        <c:axId val="2245329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2452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Sheet2!$E$6</c:f>
              <c:strCache>
                <c:ptCount val="1"/>
                <c:pt idx="0">
                  <c:v>Total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1D-4237-BA70-985DB78F24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1D-4237-BA70-985DB78F240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1D-4237-BA70-985DB78F24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Sheet2!$D$20:$D$29</c:f>
              <c:strCache>
                <c:ptCount val="10"/>
                <c:pt idx="0">
                  <c:v>CAMBIO CORRECTIVO</c:v>
                </c:pt>
                <c:pt idx="1">
                  <c:v>CAMBIO FUSIBLE</c:v>
                </c:pt>
                <c:pt idx="2">
                  <c:v>CAMBIO PUENTES</c:v>
                </c:pt>
                <c:pt idx="3">
                  <c:v>OTRO</c:v>
                </c:pt>
                <c:pt idx="4">
                  <c:v>REVISION</c:v>
                </c:pt>
                <c:pt idx="5">
                  <c:v>REVISION TRANSFORMADOR</c:v>
                </c:pt>
                <c:pt idx="6">
                  <c:v>VERIFICACION INDICADORES</c:v>
                </c:pt>
                <c:pt idx="7">
                  <c:v>VERIFICACION MEDIDORES</c:v>
                </c:pt>
                <c:pt idx="8">
                  <c:v>VISITA</c:v>
                </c:pt>
                <c:pt idx="9">
                  <c:v>VISITA POR CORRECCION</c:v>
                </c:pt>
              </c:strCache>
            </c:strRef>
          </c:cat>
          <c:val>
            <c:numRef>
              <c:f>Sheet2!$E$20:$E$29</c:f>
              <c:numCache>
                <c:formatCode>0%</c:formatCode>
                <c:ptCount val="10"/>
                <c:pt idx="0">
                  <c:v>0.13600910038866243</c:v>
                </c:pt>
                <c:pt idx="1">
                  <c:v>7.2590766897336248E-2</c:v>
                </c:pt>
                <c:pt idx="2">
                  <c:v>6.9731728125888718E-3</c:v>
                </c:pt>
                <c:pt idx="3">
                  <c:v>2.2261825765475401E-2</c:v>
                </c:pt>
                <c:pt idx="4">
                  <c:v>0.34235662148070906</c:v>
                </c:pt>
                <c:pt idx="5">
                  <c:v>4.7519196132334816E-2</c:v>
                </c:pt>
                <c:pt idx="6">
                  <c:v>0.12103516921035169</c:v>
                </c:pt>
                <c:pt idx="7">
                  <c:v>0.17970613328277563</c:v>
                </c:pt>
                <c:pt idx="8">
                  <c:v>8.9904256327614004E-3</c:v>
                </c:pt>
                <c:pt idx="9">
                  <c:v>6.2557588397004454E-2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D-4237-BA70-985DB78F2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24521471"/>
        <c:axId val="224532991"/>
      </c:barChart>
      <c:catAx>
        <c:axId val="22452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32991"/>
        <c:crosses val="autoZero"/>
        <c:auto val="1"/>
        <c:lblAlgn val="ctr"/>
        <c:lblOffset val="100"/>
        <c:noMultiLvlLbl val="0"/>
      </c:catAx>
      <c:valAx>
        <c:axId val="2245329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2452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de vehiculos (Q)</a:t>
            </a:r>
          </a:p>
        </c:rich>
      </c:tx>
      <c:layout>
        <c:manualLayout>
          <c:xMode val="edge"/>
          <c:yMode val="edge"/>
          <c:x val="0.3396456692913385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Sheet2!$F$49:$H$49</c:f>
              <c:strCache>
                <c:ptCount val="3"/>
                <c:pt idx="0">
                  <c:v>Costo Camion</c:v>
                </c:pt>
                <c:pt idx="1">
                  <c:v>Costo Pickup</c:v>
                </c:pt>
                <c:pt idx="2">
                  <c:v>Costo Moto</c:v>
                </c:pt>
              </c:strCache>
            </c:strRef>
          </c:cat>
          <c:val>
            <c:numRef>
              <c:f>Sheet2!$F$50:$H$50</c:f>
              <c:numCache>
                <c:formatCode>#,##0</c:formatCode>
                <c:ptCount val="3"/>
                <c:pt idx="0">
                  <c:v>8658363</c:v>
                </c:pt>
                <c:pt idx="1">
                  <c:v>19121908</c:v>
                </c:pt>
                <c:pt idx="2" formatCode="#,##0.00">
                  <c:v>393747.9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0-4C74-99A5-923A660A00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0664607"/>
        <c:axId val="480662687"/>
      </c:barChart>
      <c:catAx>
        <c:axId val="4806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62687"/>
        <c:crosses val="autoZero"/>
        <c:auto val="1"/>
        <c:lblAlgn val="ctr"/>
        <c:lblOffset val="100"/>
        <c:noMultiLvlLbl val="0"/>
      </c:catAx>
      <c:valAx>
        <c:axId val="4806626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066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Sheet3!$D$4</c:f>
              <c:strCache>
                <c:ptCount val="1"/>
                <c:pt idx="0">
                  <c:v>Total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F-4431-AFBB-59D50EB98D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Sheet3!$C$5:$C$14</c:f>
              <c:strCache>
                <c:ptCount val="10"/>
                <c:pt idx="0">
                  <c:v>CAMBIO CORRECTIVO</c:v>
                </c:pt>
                <c:pt idx="1">
                  <c:v>CAMBIO FUSIBLE</c:v>
                </c:pt>
                <c:pt idx="2">
                  <c:v>CAMBIO PUENTES</c:v>
                </c:pt>
                <c:pt idx="3">
                  <c:v>OTRO</c:v>
                </c:pt>
                <c:pt idx="4">
                  <c:v>REVISION</c:v>
                </c:pt>
                <c:pt idx="5">
                  <c:v>REVISION TRANSFORMADOR</c:v>
                </c:pt>
                <c:pt idx="6">
                  <c:v>VERIFICACION INDICADORES</c:v>
                </c:pt>
                <c:pt idx="7">
                  <c:v>VERIFICACION MEDIDORES</c:v>
                </c:pt>
                <c:pt idx="8">
                  <c:v>VISITA</c:v>
                </c:pt>
                <c:pt idx="9">
                  <c:v>VISITA POR CORRECCION</c:v>
                </c:pt>
              </c:strCache>
            </c:strRef>
          </c:cat>
          <c:val>
            <c:numRef>
              <c:f>Sheet3!$D$5:$D$14</c:f>
              <c:numCache>
                <c:formatCode>#,##0</c:formatCode>
                <c:ptCount val="10"/>
                <c:pt idx="0">
                  <c:v>35869</c:v>
                </c:pt>
                <c:pt idx="1">
                  <c:v>19144</c:v>
                </c:pt>
                <c:pt idx="2">
                  <c:v>1839</c:v>
                </c:pt>
                <c:pt idx="3">
                  <c:v>5871</c:v>
                </c:pt>
                <c:pt idx="4">
                  <c:v>90288</c:v>
                </c:pt>
                <c:pt idx="5">
                  <c:v>12532</c:v>
                </c:pt>
                <c:pt idx="6">
                  <c:v>31920</c:v>
                </c:pt>
                <c:pt idx="7">
                  <c:v>47393</c:v>
                </c:pt>
                <c:pt idx="8">
                  <c:v>2371</c:v>
                </c:pt>
                <c:pt idx="9">
                  <c:v>16498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F-4431-AFBB-59D50EB98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0883151"/>
        <c:axId val="490871631"/>
      </c:barChart>
      <c:catAx>
        <c:axId val="49088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71631"/>
        <c:crosses val="autoZero"/>
        <c:auto val="1"/>
        <c:lblAlgn val="ctr"/>
        <c:lblOffset val="100"/>
        <c:noMultiLvlLbl val="0"/>
      </c:catAx>
      <c:valAx>
        <c:axId val="4908716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908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Sheet3!$D$4</c:f>
              <c:strCache>
                <c:ptCount val="1"/>
                <c:pt idx="0">
                  <c:v>Total Servicios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4D-4203-9B8A-0AB2354A68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Sheet3!$C$18:$C$27</c:f>
              <c:strCache>
                <c:ptCount val="10"/>
                <c:pt idx="0">
                  <c:v>CAMBIO CORRECTIVO</c:v>
                </c:pt>
                <c:pt idx="1">
                  <c:v>CAMBIO FUSIBLE</c:v>
                </c:pt>
                <c:pt idx="2">
                  <c:v>CAMBIO PUENTES</c:v>
                </c:pt>
                <c:pt idx="3">
                  <c:v>OTRO</c:v>
                </c:pt>
                <c:pt idx="4">
                  <c:v>REVISION</c:v>
                </c:pt>
                <c:pt idx="5">
                  <c:v>REVISION TRANSFORMADOR</c:v>
                </c:pt>
                <c:pt idx="6">
                  <c:v>VERIFICACION INDICADORES</c:v>
                </c:pt>
                <c:pt idx="7">
                  <c:v>VERIFICACION MEDIDORES</c:v>
                </c:pt>
                <c:pt idx="8">
                  <c:v>VISITA</c:v>
                </c:pt>
                <c:pt idx="9">
                  <c:v>VISITA POR CORRECCION</c:v>
                </c:pt>
              </c:strCache>
            </c:strRef>
          </c:cat>
          <c:val>
            <c:numRef>
              <c:f>Sheet3!$D$18:$D$27</c:f>
              <c:numCache>
                <c:formatCode>0%</c:formatCode>
                <c:ptCount val="10"/>
                <c:pt idx="0">
                  <c:v>0.13600910038866243</c:v>
                </c:pt>
                <c:pt idx="1">
                  <c:v>7.2590766897336248E-2</c:v>
                </c:pt>
                <c:pt idx="2">
                  <c:v>6.9731728125888718E-3</c:v>
                </c:pt>
                <c:pt idx="3">
                  <c:v>2.2261825765475401E-2</c:v>
                </c:pt>
                <c:pt idx="4">
                  <c:v>0.34235662148070906</c:v>
                </c:pt>
                <c:pt idx="5">
                  <c:v>4.7519196132334816E-2</c:v>
                </c:pt>
                <c:pt idx="6">
                  <c:v>0.12103516921035169</c:v>
                </c:pt>
                <c:pt idx="7">
                  <c:v>0.17970613328277563</c:v>
                </c:pt>
                <c:pt idx="8">
                  <c:v>8.9904256327614004E-3</c:v>
                </c:pt>
                <c:pt idx="9">
                  <c:v>6.2557588397004454E-2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D-4203-9B8A-0AB2354A6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0883151"/>
        <c:axId val="490871631"/>
      </c:barChart>
      <c:catAx>
        <c:axId val="49088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71631"/>
        <c:crosses val="autoZero"/>
        <c:auto val="1"/>
        <c:lblAlgn val="ctr"/>
        <c:lblOffset val="100"/>
        <c:noMultiLvlLbl val="0"/>
      </c:catAx>
      <c:valAx>
        <c:axId val="4908716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908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Sheet3!$E$4</c:f>
              <c:strCache>
                <c:ptCount val="1"/>
                <c:pt idx="0">
                  <c:v>Costo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2B-4351-8C47-DA3994B27E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Sheet3!$C$5:$C$14</c:f>
              <c:strCache>
                <c:ptCount val="10"/>
                <c:pt idx="0">
                  <c:v>CAMBIO CORRECTIVO</c:v>
                </c:pt>
                <c:pt idx="1">
                  <c:v>CAMBIO FUSIBLE</c:v>
                </c:pt>
                <c:pt idx="2">
                  <c:v>CAMBIO PUENTES</c:v>
                </c:pt>
                <c:pt idx="3">
                  <c:v>OTRO</c:v>
                </c:pt>
                <c:pt idx="4">
                  <c:v>REVISION</c:v>
                </c:pt>
                <c:pt idx="5">
                  <c:v>REVISION TRANSFORMADOR</c:v>
                </c:pt>
                <c:pt idx="6">
                  <c:v>VERIFICACION INDICADORES</c:v>
                </c:pt>
                <c:pt idx="7">
                  <c:v>VERIFICACION MEDIDORES</c:v>
                </c:pt>
                <c:pt idx="8">
                  <c:v>VISITA</c:v>
                </c:pt>
                <c:pt idx="9">
                  <c:v>VISITA POR CORRECCION</c:v>
                </c:pt>
              </c:strCache>
            </c:strRef>
          </c:cat>
          <c:val>
            <c:numRef>
              <c:f>Sheet3!$E$5:$E$14</c:f>
              <c:numCache>
                <c:formatCode>General</c:formatCode>
                <c:ptCount val="10"/>
                <c:pt idx="0">
                  <c:v>96.317729999999997</c:v>
                </c:pt>
                <c:pt idx="1">
                  <c:v>108.77198</c:v>
                </c:pt>
                <c:pt idx="2">
                  <c:v>136.16497000000001</c:v>
                </c:pt>
                <c:pt idx="3">
                  <c:v>132.60285999999999</c:v>
                </c:pt>
                <c:pt idx="4">
                  <c:v>103.18534</c:v>
                </c:pt>
                <c:pt idx="5">
                  <c:v>121.90366</c:v>
                </c:pt>
                <c:pt idx="6">
                  <c:v>109.20808</c:v>
                </c:pt>
                <c:pt idx="7">
                  <c:v>102.7957</c:v>
                </c:pt>
                <c:pt idx="8">
                  <c:v>99.485309999999998</c:v>
                </c:pt>
                <c:pt idx="9">
                  <c:v>131.54660000000001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2B-4351-8C47-DA3994B27E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0883151"/>
        <c:axId val="490871631"/>
      </c:barChart>
      <c:catAx>
        <c:axId val="49088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71631"/>
        <c:crosses val="autoZero"/>
        <c:auto val="1"/>
        <c:lblAlgn val="ctr"/>
        <c:lblOffset val="100"/>
        <c:noMultiLvlLbl val="0"/>
      </c:catAx>
      <c:valAx>
        <c:axId val="4908716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908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144780</xdr:colOff>
      <xdr:row>3</xdr:row>
      <xdr:rowOff>156210</xdr:rowOff>
    </xdr:from>
    <xdr:to>
      <xdr:col>20</xdr:col>
      <xdr:colOff>449580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B6A04-94A4-F893-81AC-4F17B78C3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118280</xdr:colOff>
      <xdr:row>17</xdr:row>
      <xdr:rowOff>144211</xdr:rowOff>
    </xdr:from>
    <xdr:to>
      <xdr:col>20</xdr:col>
      <xdr:colOff>423080</xdr:colOff>
      <xdr:row>32</xdr:row>
      <xdr:rowOff>144212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5358B-D571-403B-ACBA-BDDE93029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190500</xdr:colOff>
      <xdr:row>34</xdr:row>
      <xdr:rowOff>30480</xdr:rowOff>
    </xdr:from>
    <xdr:to>
      <xdr:col>20</xdr:col>
      <xdr:colOff>495300</xdr:colOff>
      <xdr:row>49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F245C4-CD12-43FD-9CC3-9C173616D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414867</xdr:colOff>
      <xdr:row>50</xdr:row>
      <xdr:rowOff>84666</xdr:rowOff>
    </xdr:from>
    <xdr:to>
      <xdr:col>17</xdr:col>
      <xdr:colOff>110067</xdr:colOff>
      <xdr:row>65</xdr:row>
      <xdr:rowOff>33866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33F6F6-5E9D-4E8B-A718-E81D714FA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352567</xdr:colOff>
      <xdr:row>3</xdr:row>
      <xdr:rowOff>79613</xdr:rowOff>
    </xdr:from>
    <xdr:to>
      <xdr:col>29</xdr:col>
      <xdr:colOff>43218</xdr:colOff>
      <xdr:row>16</xdr:row>
      <xdr:rowOff>79613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A5689B-6804-4366-B4E2-CEEE980B4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480732</xdr:colOff>
      <xdr:row>66</xdr:row>
      <xdr:rowOff>75639</xdr:rowOff>
    </xdr:from>
    <xdr:to>
      <xdr:col>16</xdr:col>
      <xdr:colOff>459441</xdr:colOff>
      <xdr:row>81</xdr:row>
      <xdr:rowOff>129427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E71D3A-7B59-4D30-B347-B7D1426F0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142875</xdr:colOff>
      <xdr:row>66</xdr:row>
      <xdr:rowOff>166688</xdr:rowOff>
    </xdr:from>
    <xdr:to>
      <xdr:col>9</xdr:col>
      <xdr:colOff>333375</xdr:colOff>
      <xdr:row>82</xdr:row>
      <xdr:rowOff>14288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66F4DC-AA2A-5855-2D7B-A80183C3F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502920</xdr:colOff>
      <xdr:row>5</xdr:row>
      <xdr:rowOff>11430</xdr:rowOff>
    </xdr:from>
    <xdr:to>
      <xdr:col>20</xdr:col>
      <xdr:colOff>198120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20A27-0CA3-720A-D003-1DC9CDC97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20</xdr:col>
      <xdr:colOff>304800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3B2E1E-7997-4D11-9FE9-02C1A2A63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593558</xdr:colOff>
      <xdr:row>30</xdr:row>
      <xdr:rowOff>0</xdr:rowOff>
    </xdr:from>
    <xdr:to>
      <xdr:col>20</xdr:col>
      <xdr:colOff>288758</xdr:colOff>
      <xdr:row>44</xdr:row>
      <xdr:rowOff>176463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86D677-7F18-42D4-BB55-6CD1C46C2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414867</xdr:colOff>
      <xdr:row>45</xdr:row>
      <xdr:rowOff>84666</xdr:rowOff>
    </xdr:from>
    <xdr:to>
      <xdr:col>20</xdr:col>
      <xdr:colOff>110067</xdr:colOff>
      <xdr:row>60</xdr:row>
      <xdr:rowOff>33866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A452B1-53F9-0235-1D98-87F9EFE8F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7</xdr:row>
      <xdr:rowOff>102870</xdr:rowOff>
    </xdr:from>
    <xdr:to>
      <xdr:col>18</xdr:col>
      <xdr:colOff>152400</xdr:colOff>
      <xdr:row>13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21E75-59AD-5790-D95C-6C6A6EF82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464820</xdr:colOff>
      <xdr:row>13</xdr:row>
      <xdr:rowOff>350520</xdr:rowOff>
    </xdr:from>
    <xdr:to>
      <xdr:col>18</xdr:col>
      <xdr:colOff>160020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895E1-D0BB-4992-BFCB-B0ADF53C7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449580</xdr:colOff>
      <xdr:row>22</xdr:row>
      <xdr:rowOff>320040</xdr:rowOff>
    </xdr:from>
    <xdr:to>
      <xdr:col>18</xdr:col>
      <xdr:colOff>144780</xdr:colOff>
      <xdr:row>27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710231-CCC0-47C7-A116-EC9705D61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F85B-B6B8-4F03-AEE6-52AF363FF8D0}">
  <dimension ref="C4:Y62"/>
  <sheetViews>
    <sheetView tabSelected="1" topLeftCell="D60" zoomScale="98" workbookViewId="0">
      <selection activeCell="I83" sqref="I83"/>
    </sheetView>
  </sheetViews>
  <sheetFormatPr defaultRowHeight="14.4" x14ac:dyDescent="0.3"/>
  <cols>
    <col min="3" max="3" width="10.6640625" bestFit="1" customWidth="1"/>
    <col min="4" max="4" width="14.109375" customWidth="1"/>
    <col min="5" max="5" width="15.77734375" customWidth="1"/>
    <col min="6" max="6" width="17.88671875" customWidth="1"/>
    <col min="7" max="7" width="16" customWidth="1"/>
    <col min="8" max="8" width="11.109375" customWidth="1"/>
    <col min="9" max="9" width="18.88671875" customWidth="1"/>
    <col min="10" max="10" width="9.5546875" bestFit="1" customWidth="1"/>
    <col min="11" max="11" width="12.88671875" customWidth="1"/>
  </cols>
  <sheetData>
    <row r="4" spans="4:12" ht="43.2" x14ac:dyDescent="0.3">
      <c r="D4" s="1"/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</row>
    <row r="5" spans="4:12" x14ac:dyDescent="0.3">
      <c r="D5" s="2">
        <v>1</v>
      </c>
      <c r="E5" s="3">
        <v>45442</v>
      </c>
      <c r="F5" s="2">
        <v>30.603300000000001</v>
      </c>
      <c r="G5" s="2">
        <v>41.221350000000001</v>
      </c>
      <c r="H5" s="2">
        <v>0.74241380000000001</v>
      </c>
      <c r="I5" s="2">
        <v>39559</v>
      </c>
    </row>
    <row r="6" spans="4:12" x14ac:dyDescent="0.3">
      <c r="D6" s="2">
        <v>2</v>
      </c>
      <c r="E6" s="2" t="s">
        <v>5</v>
      </c>
      <c r="F6" s="2">
        <v>31.12763</v>
      </c>
      <c r="G6" s="2">
        <v>68.556489999999997</v>
      </c>
      <c r="H6" s="2">
        <v>0.45404349999999999</v>
      </c>
      <c r="I6" s="2">
        <v>52745</v>
      </c>
    </row>
    <row r="7" spans="4:12" x14ac:dyDescent="0.3">
      <c r="D7" s="2">
        <v>3</v>
      </c>
      <c r="E7" s="2" t="s">
        <v>6</v>
      </c>
      <c r="F7" s="2">
        <v>31.390329999999999</v>
      </c>
      <c r="G7" s="2">
        <v>87.236699999999999</v>
      </c>
      <c r="H7" s="2">
        <v>0.35982940000000002</v>
      </c>
      <c r="I7" s="2">
        <v>34284</v>
      </c>
    </row>
    <row r="8" spans="4:12" x14ac:dyDescent="0.3">
      <c r="D8" s="2">
        <v>4</v>
      </c>
      <c r="E8" s="2" t="s">
        <v>7</v>
      </c>
      <c r="F8" s="2">
        <v>32.556570000000001</v>
      </c>
      <c r="G8" s="2">
        <v>126.13411000000001</v>
      </c>
      <c r="H8" s="2">
        <v>0.25811079999999997</v>
      </c>
      <c r="I8" s="2">
        <v>110764</v>
      </c>
    </row>
    <row r="9" spans="4:12" x14ac:dyDescent="0.3">
      <c r="D9" s="2">
        <v>5</v>
      </c>
      <c r="E9" s="2" t="s">
        <v>8</v>
      </c>
      <c r="F9" s="2">
        <v>37.133890000000001</v>
      </c>
      <c r="G9" s="2">
        <v>226.19307000000001</v>
      </c>
      <c r="H9" s="2">
        <v>0.16416900000000001</v>
      </c>
      <c r="I9" s="2">
        <v>26373</v>
      </c>
    </row>
    <row r="12" spans="4:12" ht="43.2" x14ac:dyDescent="0.3">
      <c r="H12" s="1" t="s">
        <v>0</v>
      </c>
      <c r="I12" s="1" t="s">
        <v>11</v>
      </c>
      <c r="J12" t="s">
        <v>9</v>
      </c>
      <c r="K12" s="1" t="s">
        <v>3</v>
      </c>
      <c r="L12" s="1" t="s">
        <v>31</v>
      </c>
    </row>
    <row r="13" spans="4:12" x14ac:dyDescent="0.3">
      <c r="H13" s="6" t="s">
        <v>10</v>
      </c>
      <c r="I13" s="5">
        <v>39559</v>
      </c>
      <c r="J13" s="13">
        <f>(I13*100)/$I$19/100</f>
        <v>0.15000094795715233</v>
      </c>
      <c r="K13" s="7">
        <v>0.74241380000000001</v>
      </c>
      <c r="L13" s="2">
        <v>41.221350000000001</v>
      </c>
    </row>
    <row r="14" spans="4:12" x14ac:dyDescent="0.3">
      <c r="H14" s="2" t="s">
        <v>5</v>
      </c>
      <c r="I14" s="5">
        <v>52745</v>
      </c>
      <c r="J14" s="13">
        <f t="shared" ref="J14:J17" si="0">(I14*100)/$I$19/100</f>
        <v>0.2</v>
      </c>
      <c r="K14" s="7">
        <v>0.45404349999999999</v>
      </c>
      <c r="L14" s="2">
        <v>68.556489999999997</v>
      </c>
    </row>
    <row r="15" spans="4:12" x14ac:dyDescent="0.3">
      <c r="H15" s="2" t="s">
        <v>6</v>
      </c>
      <c r="I15" s="5">
        <v>34284</v>
      </c>
      <c r="J15" s="13">
        <f t="shared" si="0"/>
        <v>0.12999905204284767</v>
      </c>
      <c r="K15" s="7">
        <v>0.35982940000000002</v>
      </c>
      <c r="L15" s="2">
        <v>87.236699999999999</v>
      </c>
    </row>
    <row r="16" spans="4:12" x14ac:dyDescent="0.3">
      <c r="H16" s="2" t="s">
        <v>7</v>
      </c>
      <c r="I16" s="5">
        <v>110764</v>
      </c>
      <c r="J16" s="13">
        <f t="shared" si="0"/>
        <v>0.41999810408569532</v>
      </c>
      <c r="K16" s="7">
        <v>0.25811079999999997</v>
      </c>
      <c r="L16" s="2">
        <v>126.13411000000001</v>
      </c>
    </row>
    <row r="17" spans="8:12" x14ac:dyDescent="0.3">
      <c r="H17" s="2" t="s">
        <v>8</v>
      </c>
      <c r="I17" s="5">
        <v>26373</v>
      </c>
      <c r="J17" s="13">
        <f t="shared" si="0"/>
        <v>0.10000189591430468</v>
      </c>
      <c r="K17" s="7">
        <v>0.16416900000000001</v>
      </c>
      <c r="L17" s="2">
        <v>226.19307000000001</v>
      </c>
    </row>
    <row r="19" spans="8:12" x14ac:dyDescent="0.3">
      <c r="I19">
        <f>SUM(I13:I17)</f>
        <v>263725</v>
      </c>
    </row>
    <row r="33" spans="25:25" x14ac:dyDescent="0.3">
      <c r="Y33" t="s">
        <v>12</v>
      </c>
    </row>
    <row r="54" spans="3:6" ht="28.8" x14ac:dyDescent="0.3">
      <c r="C54" s="1" t="s">
        <v>33</v>
      </c>
      <c r="D54" s="1" t="s">
        <v>34</v>
      </c>
      <c r="E54" s="1" t="s">
        <v>35</v>
      </c>
    </row>
    <row r="55" spans="3:6" x14ac:dyDescent="0.3">
      <c r="C55" s="5">
        <v>8658363</v>
      </c>
      <c r="D55" s="5">
        <v>19121908</v>
      </c>
      <c r="E55" s="12">
        <v>393747.9</v>
      </c>
      <c r="F55" s="8">
        <f>SUM(C55:E55)</f>
        <v>28174018.899999999</v>
      </c>
    </row>
    <row r="56" spans="3:6" x14ac:dyDescent="0.3">
      <c r="C56" s="10">
        <f>(C55*100)/$F$55/100</f>
        <v>0.30731728514599671</v>
      </c>
      <c r="D56" s="10">
        <f>(D55*100)/$F$55/100</f>
        <v>0.67870714745633964</v>
      </c>
      <c r="E56" s="10">
        <f>(E55*100)/$F$55/100</f>
        <v>1.3975567397663669E-2</v>
      </c>
    </row>
    <row r="61" spans="3:6" x14ac:dyDescent="0.3">
      <c r="C61" s="1" t="s">
        <v>36</v>
      </c>
      <c r="D61" s="1" t="s">
        <v>37</v>
      </c>
      <c r="E61" s="1" t="s">
        <v>38</v>
      </c>
    </row>
    <row r="62" spans="3:6" x14ac:dyDescent="0.3">
      <c r="C62" s="5">
        <v>62267</v>
      </c>
      <c r="D62" s="5">
        <v>195733</v>
      </c>
      <c r="E62" s="5">
        <v>5725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3D2B-A2DC-4126-9FD3-ED65019A6328}">
  <dimension ref="A1:J50"/>
  <sheetViews>
    <sheetView topLeftCell="F25" zoomScale="80" workbookViewId="0">
      <selection activeCell="X13" sqref="X13"/>
    </sheetView>
  </sheetViews>
  <sheetFormatPr defaultRowHeight="14.4" x14ac:dyDescent="0.3"/>
  <cols>
    <col min="4" max="4" width="21.5546875" customWidth="1"/>
    <col min="5" max="5" width="16.5546875" customWidth="1"/>
    <col min="6" max="6" width="28" customWidth="1"/>
    <col min="7" max="7" width="27.88671875" customWidth="1"/>
    <col min="8" max="8" width="23.109375" customWidth="1"/>
    <col min="9" max="9" width="19.109375" customWidth="1"/>
  </cols>
  <sheetData>
    <row r="1" spans="1:10" x14ac:dyDescent="0.3">
      <c r="A1" t="s">
        <v>12</v>
      </c>
    </row>
    <row r="6" spans="1:10" ht="43.2" x14ac:dyDescent="0.3">
      <c r="D6" s="1" t="s">
        <v>13</v>
      </c>
      <c r="E6" s="1" t="s">
        <v>27</v>
      </c>
      <c r="F6" s="1" t="s">
        <v>14</v>
      </c>
      <c r="G6" s="1" t="s">
        <v>15</v>
      </c>
      <c r="H6" s="1" t="s">
        <v>32</v>
      </c>
      <c r="I6" s="1" t="s">
        <v>16</v>
      </c>
      <c r="J6" s="1" t="s">
        <v>28</v>
      </c>
    </row>
    <row r="7" spans="1:10" x14ac:dyDescent="0.3">
      <c r="D7" s="2" t="s">
        <v>20</v>
      </c>
      <c r="E7" s="5">
        <v>35869</v>
      </c>
      <c r="F7" s="2">
        <v>0</v>
      </c>
      <c r="G7" s="2">
        <v>0</v>
      </c>
      <c r="H7" s="11">
        <v>28.186150000000001</v>
      </c>
      <c r="I7" s="2">
        <v>22.638770000000001</v>
      </c>
      <c r="J7" s="10">
        <f>I7/100</f>
        <v>0.2263877</v>
      </c>
    </row>
    <row r="8" spans="1:10" x14ac:dyDescent="0.3">
      <c r="D8" s="2" t="s">
        <v>21</v>
      </c>
      <c r="E8" s="5">
        <v>19144</v>
      </c>
      <c r="F8" s="2">
        <v>0</v>
      </c>
      <c r="G8" s="2">
        <v>0</v>
      </c>
      <c r="H8" s="11">
        <v>44.623750000000001</v>
      </c>
      <c r="I8" s="2">
        <v>29.090610000000002</v>
      </c>
      <c r="J8" s="10">
        <f t="shared" ref="J8:J16" si="0">I8/100</f>
        <v>0.2909061</v>
      </c>
    </row>
    <row r="9" spans="1:10" x14ac:dyDescent="0.3">
      <c r="D9" s="2" t="s">
        <v>22</v>
      </c>
      <c r="E9" s="5">
        <v>1839</v>
      </c>
      <c r="F9" s="2">
        <v>0</v>
      </c>
      <c r="G9" s="2">
        <v>0</v>
      </c>
      <c r="H9" s="11">
        <v>40.71452</v>
      </c>
      <c r="I9" s="2">
        <v>23.018229999999999</v>
      </c>
      <c r="J9" s="10">
        <f t="shared" si="0"/>
        <v>0.23018229999999998</v>
      </c>
    </row>
    <row r="10" spans="1:10" x14ac:dyDescent="0.3">
      <c r="D10" s="2" t="s">
        <v>17</v>
      </c>
      <c r="E10" s="5">
        <v>5871</v>
      </c>
      <c r="F10" s="2">
        <v>0</v>
      </c>
      <c r="G10" s="2">
        <v>0</v>
      </c>
      <c r="H10" s="11">
        <v>44.157209999999999</v>
      </c>
      <c r="I10" s="2">
        <v>24.981439999999999</v>
      </c>
      <c r="J10" s="10">
        <f t="shared" si="0"/>
        <v>0.24981439999999999</v>
      </c>
    </row>
    <row r="11" spans="1:10" x14ac:dyDescent="0.3">
      <c r="D11" s="2" t="s">
        <v>18</v>
      </c>
      <c r="E11" s="5">
        <v>90288</v>
      </c>
      <c r="F11" s="2">
        <v>0</v>
      </c>
      <c r="G11" s="2">
        <v>0</v>
      </c>
      <c r="H11" s="11">
        <v>29.373449999999998</v>
      </c>
      <c r="I11" s="2">
        <v>22.158809999999999</v>
      </c>
      <c r="J11" s="10">
        <f t="shared" si="0"/>
        <v>0.22158809999999998</v>
      </c>
    </row>
    <row r="12" spans="1:10" ht="28.8" x14ac:dyDescent="0.3">
      <c r="D12" s="2" t="s">
        <v>23</v>
      </c>
      <c r="E12" s="5">
        <v>12532</v>
      </c>
      <c r="F12" s="2">
        <v>0</v>
      </c>
      <c r="G12" s="2">
        <v>0</v>
      </c>
      <c r="H12" s="11">
        <v>35.33267</v>
      </c>
      <c r="I12" s="2">
        <v>22.471060000000001</v>
      </c>
      <c r="J12" s="10">
        <f t="shared" si="0"/>
        <v>0.22471060000000001</v>
      </c>
    </row>
    <row r="13" spans="1:10" ht="28.8" x14ac:dyDescent="0.3">
      <c r="D13" s="2" t="s">
        <v>24</v>
      </c>
      <c r="E13" s="5">
        <v>31920</v>
      </c>
      <c r="F13" s="2">
        <v>0</v>
      </c>
      <c r="G13" s="2">
        <v>0</v>
      </c>
      <c r="H13" s="11">
        <v>32.712440000000001</v>
      </c>
      <c r="I13" s="2">
        <v>23.04983</v>
      </c>
      <c r="J13" s="10">
        <f t="shared" si="0"/>
        <v>0.23049829999999999</v>
      </c>
    </row>
    <row r="14" spans="1:10" ht="28.8" x14ac:dyDescent="0.3">
      <c r="D14" s="2" t="s">
        <v>25</v>
      </c>
      <c r="E14" s="5">
        <v>47393</v>
      </c>
      <c r="F14" s="2">
        <v>0</v>
      </c>
      <c r="G14" s="2">
        <v>0</v>
      </c>
      <c r="H14" s="11">
        <v>28.805119999999999</v>
      </c>
      <c r="I14" s="2">
        <v>21.888249999999999</v>
      </c>
      <c r="J14" s="10">
        <f t="shared" si="0"/>
        <v>0.21888249999999998</v>
      </c>
    </row>
    <row r="15" spans="1:10" x14ac:dyDescent="0.3">
      <c r="D15" s="2" t="s">
        <v>19</v>
      </c>
      <c r="E15" s="5">
        <v>2371</v>
      </c>
      <c r="F15" s="2">
        <v>0</v>
      </c>
      <c r="G15" s="2">
        <v>0</v>
      </c>
      <c r="H15" s="11">
        <v>28.878530000000001</v>
      </c>
      <c r="I15" s="2">
        <v>22.497399999999999</v>
      </c>
      <c r="J15" s="10">
        <f t="shared" si="0"/>
        <v>0.22497399999999998</v>
      </c>
    </row>
    <row r="16" spans="1:10" ht="28.8" x14ac:dyDescent="0.3">
      <c r="D16" s="2" t="s">
        <v>26</v>
      </c>
      <c r="E16" s="5">
        <v>16498</v>
      </c>
      <c r="F16" s="2">
        <v>0</v>
      </c>
      <c r="G16" s="2">
        <v>0</v>
      </c>
      <c r="H16" s="11">
        <v>44.975029999999997</v>
      </c>
      <c r="I16" s="2">
        <v>25.478480000000001</v>
      </c>
      <c r="J16" s="10">
        <f t="shared" si="0"/>
        <v>0.25478480000000003</v>
      </c>
    </row>
    <row r="19" spans="4:7" x14ac:dyDescent="0.3">
      <c r="D19" s="1" t="s">
        <v>13</v>
      </c>
      <c r="E19" t="s">
        <v>9</v>
      </c>
    </row>
    <row r="20" spans="4:7" x14ac:dyDescent="0.3">
      <c r="D20" s="2" t="s">
        <v>20</v>
      </c>
      <c r="E20" s="4">
        <f>(E7*100)/$G$20/100</f>
        <v>0.13600910038866243</v>
      </c>
      <c r="G20" s="8">
        <f>SUM(E7:E16)</f>
        <v>263725</v>
      </c>
    </row>
    <row r="21" spans="4:7" x14ac:dyDescent="0.3">
      <c r="D21" s="2" t="s">
        <v>21</v>
      </c>
      <c r="E21" s="4">
        <f t="shared" ref="E21:E29" si="1">(E8*100)/$G$20/100</f>
        <v>7.2590766897336248E-2</v>
      </c>
    </row>
    <row r="22" spans="4:7" x14ac:dyDescent="0.3">
      <c r="D22" s="2" t="s">
        <v>22</v>
      </c>
      <c r="E22" s="4">
        <f t="shared" si="1"/>
        <v>6.9731728125888718E-3</v>
      </c>
    </row>
    <row r="23" spans="4:7" x14ac:dyDescent="0.3">
      <c r="D23" s="2" t="s">
        <v>17</v>
      </c>
      <c r="E23" s="4">
        <f t="shared" si="1"/>
        <v>2.2261825765475401E-2</v>
      </c>
    </row>
    <row r="24" spans="4:7" x14ac:dyDescent="0.3">
      <c r="D24" s="2" t="s">
        <v>18</v>
      </c>
      <c r="E24" s="4">
        <f t="shared" si="1"/>
        <v>0.34235662148070906</v>
      </c>
    </row>
    <row r="25" spans="4:7" ht="28.8" x14ac:dyDescent="0.3">
      <c r="D25" s="2" t="s">
        <v>23</v>
      </c>
      <c r="E25" s="4">
        <f t="shared" si="1"/>
        <v>4.7519196132334816E-2</v>
      </c>
    </row>
    <row r="26" spans="4:7" ht="28.8" x14ac:dyDescent="0.3">
      <c r="D26" s="2" t="s">
        <v>24</v>
      </c>
      <c r="E26" s="4">
        <f t="shared" si="1"/>
        <v>0.12103516921035169</v>
      </c>
    </row>
    <row r="27" spans="4:7" ht="28.8" x14ac:dyDescent="0.3">
      <c r="D27" s="2" t="s">
        <v>25</v>
      </c>
      <c r="E27" s="4">
        <f t="shared" si="1"/>
        <v>0.17970613328277563</v>
      </c>
      <c r="F27" s="9"/>
    </row>
    <row r="28" spans="4:7" x14ac:dyDescent="0.3">
      <c r="D28" s="2" t="s">
        <v>19</v>
      </c>
      <c r="E28" s="4">
        <f t="shared" si="1"/>
        <v>8.9904256327614004E-3</v>
      </c>
    </row>
    <row r="29" spans="4:7" ht="28.8" x14ac:dyDescent="0.3">
      <c r="D29" s="2" t="s">
        <v>26</v>
      </c>
      <c r="E29" s="4">
        <f t="shared" si="1"/>
        <v>6.2557588397004454E-2</v>
      </c>
    </row>
    <row r="49" spans="6:8" x14ac:dyDescent="0.3">
      <c r="F49" s="1" t="s">
        <v>33</v>
      </c>
      <c r="G49" s="1" t="s">
        <v>34</v>
      </c>
      <c r="H49" s="1" t="s">
        <v>35</v>
      </c>
    </row>
    <row r="50" spans="6:8" x14ac:dyDescent="0.3">
      <c r="F50" s="5">
        <v>8658363</v>
      </c>
      <c r="G50" s="5">
        <v>19121908</v>
      </c>
      <c r="H50" s="12">
        <v>393747.9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8957-B1BB-42A8-A6E5-5C7D5FD2177E}">
  <dimension ref="C4:H27"/>
  <sheetViews>
    <sheetView topLeftCell="B11" zoomScale="81" workbookViewId="0">
      <selection activeCell="V12" sqref="V12"/>
    </sheetView>
  </sheetViews>
  <sheetFormatPr defaultRowHeight="14.4" x14ac:dyDescent="0.3"/>
  <cols>
    <col min="3" max="3" width="19.109375" customWidth="1"/>
    <col min="4" max="4" width="18" customWidth="1"/>
    <col min="5" max="5" width="17" customWidth="1"/>
    <col min="6" max="6" width="17.88671875" customWidth="1"/>
    <col min="7" max="7" width="16.44140625" customWidth="1"/>
    <col min="8" max="8" width="18.33203125" customWidth="1"/>
  </cols>
  <sheetData>
    <row r="4" spans="3:8" x14ac:dyDescent="0.3">
      <c r="C4" s="1" t="s">
        <v>13</v>
      </c>
      <c r="D4" s="1" t="s">
        <v>27</v>
      </c>
      <c r="E4" s="1" t="s">
        <v>31</v>
      </c>
      <c r="F4" s="1" t="s">
        <v>1</v>
      </c>
      <c r="G4" s="1" t="s">
        <v>29</v>
      </c>
      <c r="H4" s="1" t="s">
        <v>30</v>
      </c>
    </row>
    <row r="5" spans="3:8" ht="43.2" x14ac:dyDescent="0.3">
      <c r="C5" s="2" t="s">
        <v>20</v>
      </c>
      <c r="D5" s="5">
        <v>35869</v>
      </c>
      <c r="E5" s="2">
        <v>96.317729999999997</v>
      </c>
      <c r="F5" s="2">
        <v>28.186150000000001</v>
      </c>
      <c r="G5" s="2">
        <v>0</v>
      </c>
      <c r="H5" s="2">
        <v>0</v>
      </c>
    </row>
    <row r="6" spans="3:8" ht="28.8" x14ac:dyDescent="0.3">
      <c r="C6" s="2" t="s">
        <v>21</v>
      </c>
      <c r="D6" s="5">
        <v>19144</v>
      </c>
      <c r="E6" s="2">
        <v>108.77198</v>
      </c>
      <c r="F6" s="2">
        <v>44.623750000000001</v>
      </c>
      <c r="G6" s="2">
        <v>0</v>
      </c>
      <c r="H6" s="2">
        <v>0</v>
      </c>
    </row>
    <row r="7" spans="3:8" ht="28.8" x14ac:dyDescent="0.3">
      <c r="C7" s="2" t="s">
        <v>22</v>
      </c>
      <c r="D7" s="5">
        <v>1839</v>
      </c>
      <c r="E7" s="2">
        <v>136.16497000000001</v>
      </c>
      <c r="F7" s="2">
        <v>40.71452</v>
      </c>
      <c r="G7" s="2">
        <v>0</v>
      </c>
      <c r="H7" s="2">
        <v>0</v>
      </c>
    </row>
    <row r="8" spans="3:8" x14ac:dyDescent="0.3">
      <c r="C8" s="2" t="s">
        <v>17</v>
      </c>
      <c r="D8" s="5">
        <v>5871</v>
      </c>
      <c r="E8" s="2">
        <v>132.60285999999999</v>
      </c>
      <c r="F8" s="2">
        <v>44.157209999999999</v>
      </c>
      <c r="G8" s="2">
        <v>0</v>
      </c>
      <c r="H8" s="2">
        <v>0</v>
      </c>
    </row>
    <row r="9" spans="3:8" x14ac:dyDescent="0.3">
      <c r="C9" s="2" t="s">
        <v>18</v>
      </c>
      <c r="D9" s="5">
        <v>90288</v>
      </c>
      <c r="E9" s="2">
        <v>103.18534</v>
      </c>
      <c r="F9" s="2">
        <v>29.373449999999998</v>
      </c>
      <c r="G9" s="2">
        <v>0</v>
      </c>
      <c r="H9" s="2">
        <v>0</v>
      </c>
    </row>
    <row r="10" spans="3:8" ht="43.2" x14ac:dyDescent="0.3">
      <c r="C10" s="2" t="s">
        <v>23</v>
      </c>
      <c r="D10" s="5">
        <v>12532</v>
      </c>
      <c r="E10" s="2">
        <v>121.90366</v>
      </c>
      <c r="F10" s="2">
        <v>35.33267</v>
      </c>
      <c r="G10" s="2">
        <v>0</v>
      </c>
      <c r="H10" s="2">
        <v>0</v>
      </c>
    </row>
    <row r="11" spans="3:8" ht="57.6" x14ac:dyDescent="0.3">
      <c r="C11" s="2" t="s">
        <v>24</v>
      </c>
      <c r="D11" s="5">
        <v>31920</v>
      </c>
      <c r="E11" s="2">
        <v>109.20808</v>
      </c>
      <c r="F11" s="2">
        <v>32.712440000000001</v>
      </c>
      <c r="G11" s="2">
        <v>0</v>
      </c>
      <c r="H11" s="2">
        <v>0</v>
      </c>
    </row>
    <row r="12" spans="3:8" ht="57.6" x14ac:dyDescent="0.3">
      <c r="C12" s="2" t="s">
        <v>25</v>
      </c>
      <c r="D12" s="5">
        <v>47393</v>
      </c>
      <c r="E12" s="2">
        <v>102.7957</v>
      </c>
      <c r="F12" s="2">
        <v>28.805119999999999</v>
      </c>
      <c r="G12" s="2">
        <v>0</v>
      </c>
      <c r="H12" s="2">
        <v>0</v>
      </c>
    </row>
    <row r="13" spans="3:8" x14ac:dyDescent="0.3">
      <c r="C13" s="2" t="s">
        <v>19</v>
      </c>
      <c r="D13" s="5">
        <v>2371</v>
      </c>
      <c r="E13" s="2">
        <v>99.485309999999998</v>
      </c>
      <c r="F13" s="2">
        <v>28.878530000000001</v>
      </c>
      <c r="G13" s="2">
        <v>0</v>
      </c>
      <c r="H13" s="2">
        <v>0</v>
      </c>
    </row>
    <row r="14" spans="3:8" ht="57.6" x14ac:dyDescent="0.3">
      <c r="C14" s="2" t="s">
        <v>26</v>
      </c>
      <c r="D14" s="5">
        <v>16498</v>
      </c>
      <c r="E14" s="2">
        <v>131.54660000000001</v>
      </c>
      <c r="F14" s="2">
        <v>44.975029999999997</v>
      </c>
      <c r="G14" s="2">
        <v>0</v>
      </c>
      <c r="H14" s="2">
        <v>0</v>
      </c>
    </row>
    <row r="17" spans="3:6" x14ac:dyDescent="0.3">
      <c r="C17" s="1" t="s">
        <v>13</v>
      </c>
      <c r="D17" t="s">
        <v>9</v>
      </c>
    </row>
    <row r="18" spans="3:6" ht="43.2" x14ac:dyDescent="0.3">
      <c r="C18" s="2" t="s">
        <v>20</v>
      </c>
      <c r="D18" s="4">
        <f>(D5*100)/$F$18/100</f>
        <v>0.13600910038866243</v>
      </c>
      <c r="F18" s="8">
        <f>SUM(D5:D14)</f>
        <v>263725</v>
      </c>
    </row>
    <row r="19" spans="3:6" ht="28.8" x14ac:dyDescent="0.3">
      <c r="C19" s="2" t="s">
        <v>21</v>
      </c>
      <c r="D19" s="4">
        <f t="shared" ref="D19:D27" si="0">(D6*100)/$F$18/100</f>
        <v>7.2590766897336248E-2</v>
      </c>
    </row>
    <row r="20" spans="3:6" ht="28.8" x14ac:dyDescent="0.3">
      <c r="C20" s="2" t="s">
        <v>22</v>
      </c>
      <c r="D20" s="4">
        <f t="shared" si="0"/>
        <v>6.9731728125888718E-3</v>
      </c>
    </row>
    <row r="21" spans="3:6" x14ac:dyDescent="0.3">
      <c r="C21" s="2" t="s">
        <v>17</v>
      </c>
      <c r="D21" s="4">
        <f t="shared" si="0"/>
        <v>2.2261825765475401E-2</v>
      </c>
    </row>
    <row r="22" spans="3:6" x14ac:dyDescent="0.3">
      <c r="C22" s="2" t="s">
        <v>18</v>
      </c>
      <c r="D22" s="4">
        <f t="shared" si="0"/>
        <v>0.34235662148070906</v>
      </c>
    </row>
    <row r="23" spans="3:6" ht="43.2" x14ac:dyDescent="0.3">
      <c r="C23" s="2" t="s">
        <v>23</v>
      </c>
      <c r="D23" s="4">
        <f t="shared" si="0"/>
        <v>4.7519196132334816E-2</v>
      </c>
    </row>
    <row r="24" spans="3:6" ht="57.6" x14ac:dyDescent="0.3">
      <c r="C24" s="2" t="s">
        <v>24</v>
      </c>
      <c r="D24" s="4">
        <f t="shared" si="0"/>
        <v>0.12103516921035169</v>
      </c>
    </row>
    <row r="25" spans="3:6" ht="57.6" x14ac:dyDescent="0.3">
      <c r="C25" s="2" t="s">
        <v>25</v>
      </c>
      <c r="D25" s="4">
        <f t="shared" si="0"/>
        <v>0.17970613328277563</v>
      </c>
    </row>
    <row r="26" spans="3:6" x14ac:dyDescent="0.3">
      <c r="C26" s="2" t="s">
        <v>19</v>
      </c>
      <c r="D26" s="4">
        <f t="shared" si="0"/>
        <v>8.9904256327614004E-3</v>
      </c>
    </row>
    <row r="27" spans="3:6" ht="57.6" x14ac:dyDescent="0.3">
      <c r="C27" s="2" t="s">
        <v>26</v>
      </c>
      <c r="D27" s="4">
        <f t="shared" si="0"/>
        <v>6.2557588397004454E-2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Acuña</dc:creator>
  <cp:lastModifiedBy>Francisco Acuña</cp:lastModifiedBy>
  <dcterms:created xsi:type="dcterms:W3CDTF">2024-11-04T14:25:01Z</dcterms:created>
  <dcterms:modified xsi:type="dcterms:W3CDTF">2024-11-04T18:24:18Z</dcterms:modified>
</cp:coreProperties>
</file>